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<sst xmlns="http://schemas.openxmlformats.org/spreadsheetml/2006/main" uniqueCount="35">
  <si>
    <t>M-S</t>
  </si>
  <si>
    <t>S,C,R</t>
  </si>
  <si>
    <t>0,T</t>
  </si>
  <si>
    <t>0,1</t>
  </si>
  <si>
    <t>&lt;=1500</t>
  </si>
  <si>
    <t>[1,10]</t>
  </si>
  <si>
    <t>&lt;=1500 (Random)</t>
  </si>
  <si>
    <t>P = Max(ff,inventory)*(Price-1) -(UnsoldCupsOnSun*1.5)</t>
  </si>
  <si>
    <t>[If CupsSoldPerDayOnWeekDay&lt;200 —&gt; -$100] +                     [If CupsSoldPerDayOnWeekEnd&lt;250 —&gt; -$100]</t>
  </si>
  <si>
    <t>Total Rewards</t>
  </si>
  <si>
    <t>DOW</t>
  </si>
  <si>
    <t>Weather</t>
  </si>
  <si>
    <t>Competetor</t>
  </si>
  <si>
    <t>Event</t>
  </si>
  <si>
    <t>Inventory</t>
  </si>
  <si>
    <t>Price</t>
  </si>
  <si>
    <t>Foot Fall</t>
  </si>
  <si>
    <t>Profit and Reward</t>
  </si>
  <si>
    <t>Penalties</t>
  </si>
  <si>
    <t>M, T, W, Th, F</t>
  </si>
  <si>
    <t>R and C</t>
  </si>
  <si>
    <t>S</t>
  </si>
  <si>
    <t>T</t>
  </si>
  <si>
    <t>If T&gt;=price, [base + (T-price)*20] OR</t>
  </si>
  <si>
    <t>Base is set 1</t>
  </si>
  <si>
    <t>If T&lt;price, [base - (price-T)*20]</t>
  </si>
  <si>
    <t>CompetitorPrice = [3,8]</t>
  </si>
  <si>
    <t>5000 inventory on Monday</t>
  </si>
  <si>
    <t>WastageCost will be there on sunday</t>
  </si>
  <si>
    <t>If T&gt;=price, [base + (T-price)*30]</t>
  </si>
  <si>
    <t>Base is set 3</t>
  </si>
  <si>
    <t>If T&lt;price, [base - (price-T)*30]</t>
  </si>
  <si>
    <t>S, Su</t>
  </si>
  <si>
    <t>If T&gt;=price, [base + (T-price)*40]</t>
  </si>
  <si>
    <t>If T&lt;price, [base - (price-T)*40]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</si>
</sst>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bottom"/>
    </xf>
    <xf numFmtId="49" fontId="3" fillId="3" borderId="2" applyNumberFormat="1" applyFont="1" applyFill="1" applyBorder="1" applyAlignment="1" applyProtection="0">
      <alignment horizontal="center" vertical="bottom"/>
    </xf>
    <xf numFmtId="49" fontId="3" fillId="4" borderId="2" applyNumberFormat="1" applyFont="1" applyFill="1" applyBorder="1" applyAlignment="1" applyProtection="0">
      <alignment horizontal="center" vertical="bottom"/>
    </xf>
    <xf numFmtId="49" fontId="3" fillId="5" borderId="2" applyNumberFormat="1" applyFont="1" applyFill="1" applyBorder="1" applyAlignment="1" applyProtection="0">
      <alignment horizontal="center" vertical="bottom" wrapText="1"/>
    </xf>
    <xf numFmtId="49" fontId="3" fillId="6" borderId="2" applyNumberFormat="1" applyFont="1" applyFill="1" applyBorder="1" applyAlignment="1" applyProtection="0">
      <alignment vertical="bottom" wrapText="1"/>
    </xf>
    <xf numFmtId="49" fontId="3" fillId="6" borderId="2" applyNumberFormat="1" applyFont="1" applyFill="1" applyBorder="1" applyAlignment="1" applyProtection="0">
      <alignment vertical="bottom"/>
    </xf>
    <xf numFmtId="0" fontId="3" fillId="6" borderId="2" applyNumberFormat="0" applyFont="1" applyFill="1" applyBorder="1" applyAlignment="1" applyProtection="0">
      <alignment vertical="bottom" wrapText="1"/>
    </xf>
    <xf numFmtId="49" fontId="3" fillId="7" borderId="2" applyNumberFormat="1" applyFont="1" applyFill="1" applyBorder="1" applyAlignment="1" applyProtection="0">
      <alignment horizontal="center" vertical="bottom"/>
    </xf>
    <xf numFmtId="49" fontId="3" fillId="5" borderId="2" applyNumberFormat="1" applyFont="1" applyFill="1" applyBorder="1" applyAlignment="1" applyProtection="0">
      <alignment horizontal="center" vertical="bottom"/>
    </xf>
    <xf numFmtId="0" fontId="3" fillId="6" borderId="2" applyNumberFormat="0" applyFont="1" applyFill="1" applyBorder="1" applyAlignment="1" applyProtection="0">
      <alignment horizontal="center" vertical="bottom"/>
    </xf>
    <xf numFmtId="0" fontId="3" fillId="6" borderId="2" applyNumberFormat="0" applyFont="1" applyFill="1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fillId="8" borderId="2" applyNumberFormat="1" applyFont="1" applyFill="1" applyBorder="1" applyAlignment="1" applyProtection="0">
      <alignment vertical="bottom"/>
    </xf>
    <xf numFmtId="0" fontId="0" fillId="8" borderId="2" applyNumberFormat="1" applyFont="1" applyFill="1" applyBorder="1" applyAlignment="1" applyProtection="0">
      <alignment vertical="bottom"/>
    </xf>
    <xf numFmtId="0" fontId="0" fillId="3" borderId="2" applyNumberFormat="1" applyFont="1" applyFill="1" applyBorder="1" applyAlignment="1" applyProtection="0">
      <alignment vertical="bottom"/>
    </xf>
    <xf numFmtId="0" fontId="0" fillId="4" borderId="2" applyNumberFormat="1" applyFont="1" applyFill="1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fillId="9" borderId="2" applyNumberFormat="1" applyFont="1" applyFill="1" applyBorder="1" applyAlignment="1" applyProtection="0">
      <alignment vertical="bottom"/>
    </xf>
    <xf numFmtId="0" fontId="0" fillId="8" borderId="2" applyNumberFormat="0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7caac"/>
      <rgbColor rgb="ffffe598"/>
      <rgbColor rgb="ffa365d1"/>
      <rgbColor rgb="ffffd965"/>
      <rgbColor rgb="ffa9cd90"/>
      <rgbColor rgb="ff8eaadb"/>
      <rgbColor rgb="ffffffff"/>
      <rgbColor rgb="fff19d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80"/>
  <sheetViews>
    <sheetView workbookViewId="0" showGridLines="0" defaultGridColor="1"/>
  </sheetViews>
  <sheetFormatPr defaultColWidth="8.83333" defaultRowHeight="14.4" customHeight="1" outlineLevelRow="0" outlineLevelCol="0"/>
  <cols>
    <col min="1" max="1" width="3.17188" style="1" customWidth="1"/>
    <col min="2" max="2" width="12.1562" style="1" customWidth="1"/>
    <col min="3" max="3" width="13.5" style="1" customWidth="1"/>
    <col min="4" max="4" width="14.1719" style="1" customWidth="1"/>
    <col min="5" max="5" width="12.1719" style="1" customWidth="1"/>
    <col min="6" max="7" width="10.6719" style="1" customWidth="1"/>
    <col min="8" max="8" width="29.5" style="1" customWidth="1"/>
    <col min="9" max="9" width="27.4531" style="1" customWidth="1"/>
    <col min="10" max="10" width="41.1406" style="1" customWidth="1"/>
    <col min="11" max="11" width="14.0312" style="1" customWidth="1"/>
    <col min="12" max="12" width="48.3672" style="1" customWidth="1"/>
    <col min="13" max="16384" width="8.85156" style="1" customWidth="1"/>
  </cols>
  <sheetData>
    <row r="1" ht="78.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4">
        <v>5</v>
      </c>
      <c r="H1" t="s" s="5">
        <v>6</v>
      </c>
      <c r="I1" t="s" s="6">
        <v>7</v>
      </c>
      <c r="J1" t="s" s="7">
        <v>8</v>
      </c>
      <c r="K1" t="s" s="8">
        <v>9</v>
      </c>
      <c r="L1" s="9"/>
    </row>
    <row r="2" ht="13.55" customHeight="1">
      <c r="A2" s="2"/>
      <c r="B2" t="s" s="10">
        <v>10</v>
      </c>
      <c r="C2" t="s" s="10">
        <v>11</v>
      </c>
      <c r="D2" t="s" s="10">
        <v>12</v>
      </c>
      <c r="E2" t="s" s="10">
        <v>13</v>
      </c>
      <c r="F2" t="s" s="10">
        <v>14</v>
      </c>
      <c r="G2" t="s" s="4">
        <v>15</v>
      </c>
      <c r="H2" t="s" s="5">
        <v>16</v>
      </c>
      <c r="I2" t="s" s="11">
        <v>17</v>
      </c>
      <c r="J2" t="s" s="8">
        <v>18</v>
      </c>
      <c r="K2" s="12"/>
      <c r="L2" s="13"/>
    </row>
    <row r="3" ht="13.55" customHeight="1">
      <c r="A3" s="14">
        <v>1</v>
      </c>
      <c r="B3" t="s" s="15">
        <v>19</v>
      </c>
      <c r="C3" t="s" s="15">
        <v>20</v>
      </c>
      <c r="D3" s="16">
        <v>0</v>
      </c>
      <c r="E3" s="16">
        <v>0</v>
      </c>
      <c r="F3" s="16">
        <v>1500</v>
      </c>
      <c r="G3" s="17">
        <v>1</v>
      </c>
      <c r="H3" s="18">
        <v>450</v>
      </c>
      <c r="I3" s="19" cm="1">
        <f t="array" ref="I3">(G3*H3)-H3</f>
        <v>0</v>
      </c>
      <c r="J3" s="19">
        <v>0</v>
      </c>
      <c r="K3" s="19" cm="1">
        <f t="array" ref="K3">I3+J3</f>
        <v>0</v>
      </c>
      <c r="L3" s="20"/>
    </row>
    <row r="4" ht="13.55" customHeight="1">
      <c r="A4" s="2"/>
      <c r="B4" t="s" s="15">
        <v>19</v>
      </c>
      <c r="C4" t="s" s="15">
        <v>20</v>
      </c>
      <c r="D4" s="16">
        <v>0</v>
      </c>
      <c r="E4" s="16">
        <v>0</v>
      </c>
      <c r="F4" s="16">
        <v>1500</v>
      </c>
      <c r="G4" s="17">
        <v>2</v>
      </c>
      <c r="H4" s="18">
        <v>400</v>
      </c>
      <c r="I4" s="19" cm="1">
        <f t="array" ref="I4">(G4*H4)-H4</f>
        <v>400</v>
      </c>
      <c r="J4" s="19">
        <v>0</v>
      </c>
      <c r="K4" s="19" cm="1">
        <f t="array" ref="K4">I4+J4</f>
        <v>400</v>
      </c>
      <c r="L4" s="20"/>
    </row>
    <row r="5" ht="13.55" customHeight="1">
      <c r="A5" s="2"/>
      <c r="B5" t="s" s="15">
        <v>19</v>
      </c>
      <c r="C5" t="s" s="15">
        <v>20</v>
      </c>
      <c r="D5" s="16">
        <v>0</v>
      </c>
      <c r="E5" s="16">
        <v>0</v>
      </c>
      <c r="F5" s="16">
        <v>1500</v>
      </c>
      <c r="G5" s="17">
        <v>3</v>
      </c>
      <c r="H5" s="18">
        <v>350</v>
      </c>
      <c r="I5" s="19" cm="1">
        <f t="array" ref="I5">(G5*H5)-H5</f>
        <v>700</v>
      </c>
      <c r="J5" s="19">
        <v>0</v>
      </c>
      <c r="K5" s="19" cm="1">
        <f t="array" ref="K5">I5+J5</f>
        <v>700</v>
      </c>
      <c r="L5" s="20"/>
    </row>
    <row r="6" ht="13.55" customHeight="1">
      <c r="A6" s="2"/>
      <c r="B6" t="s" s="15">
        <v>19</v>
      </c>
      <c r="C6" t="s" s="15">
        <v>20</v>
      </c>
      <c r="D6" s="16">
        <v>0</v>
      </c>
      <c r="E6" s="16">
        <v>0</v>
      </c>
      <c r="F6" s="16">
        <v>1500</v>
      </c>
      <c r="G6" s="17">
        <v>4</v>
      </c>
      <c r="H6" s="18">
        <v>300</v>
      </c>
      <c r="I6" s="19" cm="1">
        <f t="array" ref="I6">(G6*H6)-H6</f>
        <v>900</v>
      </c>
      <c r="J6" s="19">
        <v>0</v>
      </c>
      <c r="K6" s="19" cm="1">
        <f t="array" ref="K6">I6+J6</f>
        <v>900</v>
      </c>
      <c r="L6" s="20"/>
    </row>
    <row r="7" ht="13.55" customHeight="1">
      <c r="A7" s="2"/>
      <c r="B7" t="s" s="15">
        <v>19</v>
      </c>
      <c r="C7" t="s" s="15">
        <v>20</v>
      </c>
      <c r="D7" s="16">
        <v>0</v>
      </c>
      <c r="E7" s="16">
        <v>0</v>
      </c>
      <c r="F7" s="16">
        <v>1500</v>
      </c>
      <c r="G7" s="17">
        <v>5</v>
      </c>
      <c r="H7" s="18">
        <v>250</v>
      </c>
      <c r="I7" s="19" cm="1">
        <f t="array" ref="I7">(G7*H7)-H7</f>
        <v>1000</v>
      </c>
      <c r="J7" s="19">
        <v>0</v>
      </c>
      <c r="K7" s="21" cm="1">
        <f t="array" ref="K7">I7+J7</f>
        <v>1000</v>
      </c>
      <c r="L7" s="20"/>
    </row>
    <row r="8" ht="13.55" customHeight="1">
      <c r="A8" s="2"/>
      <c r="B8" t="s" s="15">
        <v>19</v>
      </c>
      <c r="C8" t="s" s="15">
        <v>20</v>
      </c>
      <c r="D8" s="16">
        <v>0</v>
      </c>
      <c r="E8" s="16">
        <v>0</v>
      </c>
      <c r="F8" s="16">
        <v>1500</v>
      </c>
      <c r="G8" s="17">
        <v>6</v>
      </c>
      <c r="H8" s="18">
        <v>200</v>
      </c>
      <c r="I8" s="19" cm="1">
        <f t="array" ref="I8">(G8*H8)-H8</f>
        <v>1000</v>
      </c>
      <c r="J8" s="19">
        <v>0</v>
      </c>
      <c r="K8" s="21" cm="1">
        <f t="array" ref="K8">I8+J8</f>
        <v>1000</v>
      </c>
      <c r="L8" s="20"/>
    </row>
    <row r="9" ht="13.55" customHeight="1">
      <c r="A9" s="2"/>
      <c r="B9" t="s" s="15">
        <v>19</v>
      </c>
      <c r="C9" t="s" s="15">
        <v>20</v>
      </c>
      <c r="D9" s="16">
        <v>0</v>
      </c>
      <c r="E9" s="16">
        <v>0</v>
      </c>
      <c r="F9" s="16">
        <v>1500</v>
      </c>
      <c r="G9" s="17">
        <v>7</v>
      </c>
      <c r="H9" s="18">
        <v>150</v>
      </c>
      <c r="I9" s="19" cm="1">
        <f t="array" ref="I9">(G9*H9)-H9</f>
        <v>900</v>
      </c>
      <c r="J9" s="19">
        <v>-100</v>
      </c>
      <c r="K9" s="19" cm="1">
        <f t="array" ref="K9">I9+J9</f>
        <v>800</v>
      </c>
      <c r="L9" s="20"/>
    </row>
    <row r="10" ht="13.55" customHeight="1">
      <c r="A10" s="2"/>
      <c r="B10" t="s" s="15">
        <v>19</v>
      </c>
      <c r="C10" t="s" s="15">
        <v>20</v>
      </c>
      <c r="D10" s="16">
        <v>0</v>
      </c>
      <c r="E10" s="16">
        <v>0</v>
      </c>
      <c r="F10" s="16">
        <v>1500</v>
      </c>
      <c r="G10" s="17">
        <v>8</v>
      </c>
      <c r="H10" s="18">
        <v>100</v>
      </c>
      <c r="I10" s="19" cm="1">
        <f t="array" ref="I10">(G10*H10)-H10</f>
        <v>700</v>
      </c>
      <c r="J10" s="19">
        <v>-100</v>
      </c>
      <c r="K10" s="19" cm="1">
        <f t="array" ref="K10">I10+J10</f>
        <v>600</v>
      </c>
      <c r="L10" s="20"/>
    </row>
    <row r="11" ht="13.55" customHeight="1">
      <c r="A11" s="2"/>
      <c r="B11" t="s" s="15">
        <v>19</v>
      </c>
      <c r="C11" t="s" s="15">
        <v>20</v>
      </c>
      <c r="D11" s="16">
        <v>0</v>
      </c>
      <c r="E11" s="16">
        <v>0</v>
      </c>
      <c r="F11" s="16">
        <v>1500</v>
      </c>
      <c r="G11" s="17">
        <v>9</v>
      </c>
      <c r="H11" s="18">
        <v>50</v>
      </c>
      <c r="I11" s="19" cm="1">
        <f t="array" ref="I11">(G11*H11)-H11</f>
        <v>400</v>
      </c>
      <c r="J11" s="19">
        <v>-100</v>
      </c>
      <c r="K11" s="19" cm="1">
        <f t="array" ref="K11">I11+J11</f>
        <v>300</v>
      </c>
      <c r="L11" s="20"/>
    </row>
    <row r="12" ht="13.55" customHeight="1">
      <c r="A12" s="2"/>
      <c r="B12" t="s" s="15">
        <v>19</v>
      </c>
      <c r="C12" t="s" s="15">
        <v>20</v>
      </c>
      <c r="D12" s="16">
        <v>0</v>
      </c>
      <c r="E12" s="16">
        <v>0</v>
      </c>
      <c r="F12" s="16">
        <v>1500</v>
      </c>
      <c r="G12" s="17">
        <v>10</v>
      </c>
      <c r="H12" s="18">
        <v>10</v>
      </c>
      <c r="I12" s="19" cm="1">
        <f t="array" ref="I12">(G12*H12)-H12</f>
        <v>90</v>
      </c>
      <c r="J12" s="19">
        <v>-100</v>
      </c>
      <c r="K12" s="19" cm="1">
        <f t="array" ref="K12">I12+J12</f>
        <v>-10</v>
      </c>
      <c r="L12" s="20"/>
    </row>
    <row r="13" ht="13.55" customHeight="1">
      <c r="A13" s="2"/>
      <c r="B13" s="22"/>
      <c r="C13" s="22"/>
      <c r="D13" s="22"/>
      <c r="E13" s="22"/>
      <c r="F13" s="22"/>
      <c r="G13" s="23"/>
      <c r="H13" s="24"/>
      <c r="I13" s="20"/>
      <c r="J13" s="20"/>
      <c r="K13" s="20"/>
      <c r="L13" s="20"/>
    </row>
    <row r="14" ht="13.55" customHeight="1">
      <c r="A14" s="14">
        <v>2</v>
      </c>
      <c r="B14" t="s" s="15">
        <v>19</v>
      </c>
      <c r="C14" t="s" s="15">
        <v>21</v>
      </c>
      <c r="D14" s="16">
        <v>0</v>
      </c>
      <c r="E14" s="16">
        <v>0</v>
      </c>
      <c r="F14" s="16">
        <v>1500</v>
      </c>
      <c r="G14" s="17">
        <v>1</v>
      </c>
      <c r="H14" s="18">
        <v>300</v>
      </c>
      <c r="I14" s="19" cm="1">
        <f t="array" ref="I14">(G14*H14)-H14</f>
        <v>0</v>
      </c>
      <c r="J14" s="19">
        <v>0</v>
      </c>
      <c r="K14" s="19" cm="1">
        <f t="array" ref="K14">I14+J14</f>
        <v>0</v>
      </c>
      <c r="L14" s="20"/>
    </row>
    <row r="15" ht="13.55" customHeight="1">
      <c r="A15" s="2"/>
      <c r="B15" t="s" s="15">
        <v>19</v>
      </c>
      <c r="C15" t="s" s="15">
        <v>21</v>
      </c>
      <c r="D15" s="16">
        <v>0</v>
      </c>
      <c r="E15" s="16">
        <v>0</v>
      </c>
      <c r="F15" s="16">
        <v>1500</v>
      </c>
      <c r="G15" s="17">
        <v>2</v>
      </c>
      <c r="H15" s="18">
        <v>250</v>
      </c>
      <c r="I15" s="19" cm="1">
        <f t="array" ref="I15">(G15*H15)-H15</f>
        <v>250</v>
      </c>
      <c r="J15" s="19">
        <v>0</v>
      </c>
      <c r="K15" s="19" cm="1">
        <f t="array" ref="K15">I15+J15</f>
        <v>250</v>
      </c>
      <c r="L15" s="20"/>
    </row>
    <row r="16" ht="13.55" customHeight="1">
      <c r="A16" s="2"/>
      <c r="B16" t="s" s="15">
        <v>19</v>
      </c>
      <c r="C16" t="s" s="15">
        <v>21</v>
      </c>
      <c r="D16" s="16">
        <v>0</v>
      </c>
      <c r="E16" s="16">
        <v>0</v>
      </c>
      <c r="F16" s="16">
        <v>1500</v>
      </c>
      <c r="G16" s="17">
        <v>3</v>
      </c>
      <c r="H16" s="18">
        <v>200</v>
      </c>
      <c r="I16" s="19" cm="1">
        <f t="array" ref="I16">(G16*H16)-H16</f>
        <v>400</v>
      </c>
      <c r="J16" s="19">
        <v>0</v>
      </c>
      <c r="K16" s="21" cm="1">
        <f t="array" ref="K16">I16+J16</f>
        <v>400</v>
      </c>
      <c r="L16" s="20"/>
    </row>
    <row r="17" ht="13.55" customHeight="1">
      <c r="A17" s="2"/>
      <c r="B17" t="s" s="15">
        <v>19</v>
      </c>
      <c r="C17" t="s" s="15">
        <v>21</v>
      </c>
      <c r="D17" s="16">
        <v>0</v>
      </c>
      <c r="E17" s="16">
        <v>0</v>
      </c>
      <c r="F17" s="16">
        <v>1500</v>
      </c>
      <c r="G17" s="17">
        <v>4</v>
      </c>
      <c r="H17" s="18">
        <v>150</v>
      </c>
      <c r="I17" s="19" cm="1">
        <f t="array" ref="I17">(G17*H17)-H17</f>
        <v>450</v>
      </c>
      <c r="J17" s="19">
        <v>-100</v>
      </c>
      <c r="K17" s="19" cm="1">
        <f t="array" ref="K17">I17+J17</f>
        <v>350</v>
      </c>
      <c r="L17" s="20"/>
    </row>
    <row r="18" ht="13.55" customHeight="1">
      <c r="A18" s="2"/>
      <c r="B18" t="s" s="15">
        <v>19</v>
      </c>
      <c r="C18" t="s" s="15">
        <v>21</v>
      </c>
      <c r="D18" s="16">
        <v>0</v>
      </c>
      <c r="E18" s="16">
        <v>0</v>
      </c>
      <c r="F18" s="16">
        <v>1500</v>
      </c>
      <c r="G18" s="17">
        <v>5</v>
      </c>
      <c r="H18" s="18">
        <v>5</v>
      </c>
      <c r="I18" s="19" cm="1">
        <f t="array" ref="I18">(G18*H18)-H18</f>
        <v>20</v>
      </c>
      <c r="J18" s="19">
        <v>-100</v>
      </c>
      <c r="K18" s="19" cm="1">
        <f t="array" ref="K18">I18+J18</f>
        <v>-80</v>
      </c>
      <c r="L18" s="20"/>
    </row>
    <row r="19" ht="13.55" customHeight="1">
      <c r="A19" s="2"/>
      <c r="B19" t="s" s="15">
        <v>19</v>
      </c>
      <c r="C19" t="s" s="15">
        <v>21</v>
      </c>
      <c r="D19" s="16">
        <v>0</v>
      </c>
      <c r="E19" s="16">
        <v>0</v>
      </c>
      <c r="F19" s="16">
        <v>1500</v>
      </c>
      <c r="G19" s="17">
        <v>6</v>
      </c>
      <c r="H19" s="18">
        <v>4</v>
      </c>
      <c r="I19" s="19" cm="1">
        <f t="array" ref="I19">(G19*H19)-H19</f>
        <v>20</v>
      </c>
      <c r="J19" s="19">
        <v>-100</v>
      </c>
      <c r="K19" s="19" cm="1">
        <f t="array" ref="K19">I19+J19</f>
        <v>-80</v>
      </c>
      <c r="L19" s="20"/>
    </row>
    <row r="20" ht="13.55" customHeight="1">
      <c r="A20" s="2"/>
      <c r="B20" t="s" s="15">
        <v>19</v>
      </c>
      <c r="C20" t="s" s="15">
        <v>21</v>
      </c>
      <c r="D20" s="16">
        <v>0</v>
      </c>
      <c r="E20" s="16">
        <v>0</v>
      </c>
      <c r="F20" s="16">
        <v>1500</v>
      </c>
      <c r="G20" s="17">
        <v>7</v>
      </c>
      <c r="H20" s="18">
        <v>3</v>
      </c>
      <c r="I20" s="19" cm="1">
        <f t="array" ref="I20">(G20*H20)-H20</f>
        <v>18</v>
      </c>
      <c r="J20" s="19">
        <v>-100</v>
      </c>
      <c r="K20" s="19" cm="1">
        <f t="array" ref="K20">I20+J20</f>
        <v>-82</v>
      </c>
      <c r="L20" s="20"/>
    </row>
    <row r="21" ht="13.55" customHeight="1">
      <c r="A21" s="2"/>
      <c r="B21" t="s" s="15">
        <v>19</v>
      </c>
      <c r="C21" t="s" s="15">
        <v>21</v>
      </c>
      <c r="D21" s="16">
        <v>0</v>
      </c>
      <c r="E21" s="16">
        <v>0</v>
      </c>
      <c r="F21" s="16">
        <v>1500</v>
      </c>
      <c r="G21" s="17">
        <v>8</v>
      </c>
      <c r="H21" s="18">
        <v>2</v>
      </c>
      <c r="I21" s="19" cm="1">
        <f t="array" ref="I21">(G21*H21)-H21</f>
        <v>14</v>
      </c>
      <c r="J21" s="19">
        <v>-100</v>
      </c>
      <c r="K21" s="19" cm="1">
        <f t="array" ref="K21">I21+J21</f>
        <v>-86</v>
      </c>
      <c r="L21" s="20"/>
    </row>
    <row r="22" ht="13.55" customHeight="1">
      <c r="A22" s="2"/>
      <c r="B22" t="s" s="15">
        <v>19</v>
      </c>
      <c r="C22" t="s" s="15">
        <v>21</v>
      </c>
      <c r="D22" s="16">
        <v>0</v>
      </c>
      <c r="E22" s="16">
        <v>0</v>
      </c>
      <c r="F22" s="16">
        <v>1500</v>
      </c>
      <c r="G22" s="17">
        <v>9</v>
      </c>
      <c r="H22" s="18">
        <v>1</v>
      </c>
      <c r="I22" s="19" cm="1">
        <f t="array" ref="I22">(G22*H22)-H22</f>
        <v>8</v>
      </c>
      <c r="J22" s="19">
        <v>-100</v>
      </c>
      <c r="K22" s="19" cm="1">
        <f t="array" ref="K22">I22+J22</f>
        <v>-92</v>
      </c>
      <c r="L22" s="20"/>
    </row>
    <row r="23" ht="13.55" customHeight="1">
      <c r="A23" s="2"/>
      <c r="B23" t="s" s="15">
        <v>19</v>
      </c>
      <c r="C23" t="s" s="15">
        <v>21</v>
      </c>
      <c r="D23" s="16">
        <v>0</v>
      </c>
      <c r="E23" s="16">
        <v>0</v>
      </c>
      <c r="F23" s="16">
        <v>1500</v>
      </c>
      <c r="G23" s="17">
        <v>10</v>
      </c>
      <c r="H23" s="18">
        <v>0</v>
      </c>
      <c r="I23" s="19" cm="1">
        <f t="array" ref="I23">(G23*H23)-H23</f>
        <v>0</v>
      </c>
      <c r="J23" s="19">
        <v>-100</v>
      </c>
      <c r="K23" s="19" cm="1">
        <f t="array" ref="K23">I23+J23</f>
        <v>-100</v>
      </c>
      <c r="L23" s="20"/>
    </row>
    <row r="24" ht="13.55" customHeight="1">
      <c r="A24" s="2"/>
      <c r="B24" s="22"/>
      <c r="C24" s="22"/>
      <c r="D24" s="22"/>
      <c r="E24" s="22"/>
      <c r="F24" s="22"/>
      <c r="G24" s="23"/>
      <c r="H24" s="24"/>
      <c r="I24" s="20"/>
      <c r="J24" s="20"/>
      <c r="K24" s="20"/>
      <c r="L24" s="20"/>
    </row>
    <row r="25" ht="13.55" customHeight="1">
      <c r="A25" s="14">
        <v>3</v>
      </c>
      <c r="B25" t="s" s="15">
        <v>19</v>
      </c>
      <c r="C25" t="s" s="15">
        <v>20</v>
      </c>
      <c r="D25" s="16">
        <v>0</v>
      </c>
      <c r="E25" s="16">
        <v>1</v>
      </c>
      <c r="F25" s="16">
        <v>1500</v>
      </c>
      <c r="G25" s="17">
        <v>1</v>
      </c>
      <c r="H25" s="18">
        <v>600</v>
      </c>
      <c r="I25" s="19" cm="1">
        <f t="array" ref="I25">(G25*H25)-H25</f>
        <v>0</v>
      </c>
      <c r="J25" s="19">
        <v>0</v>
      </c>
      <c r="K25" s="19" cm="1">
        <f t="array" ref="K25">I25+J25</f>
        <v>0</v>
      </c>
      <c r="L25" s="20"/>
    </row>
    <row r="26" ht="13.55" customHeight="1">
      <c r="A26" s="2"/>
      <c r="B26" t="s" s="15">
        <v>19</v>
      </c>
      <c r="C26" t="s" s="15">
        <v>20</v>
      </c>
      <c r="D26" s="16">
        <v>0</v>
      </c>
      <c r="E26" s="16">
        <v>1</v>
      </c>
      <c r="F26" s="16">
        <v>1500</v>
      </c>
      <c r="G26" s="17">
        <v>2</v>
      </c>
      <c r="H26" s="18">
        <v>550</v>
      </c>
      <c r="I26" s="19" cm="1">
        <f t="array" ref="I26">(G26*H26)-H26</f>
        <v>550</v>
      </c>
      <c r="J26" s="19">
        <v>0</v>
      </c>
      <c r="K26" s="19" cm="1">
        <f t="array" ref="K26">I26+J26</f>
        <v>550</v>
      </c>
      <c r="L26" s="20"/>
    </row>
    <row r="27" ht="13.55" customHeight="1">
      <c r="A27" s="2"/>
      <c r="B27" t="s" s="15">
        <v>19</v>
      </c>
      <c r="C27" t="s" s="15">
        <v>20</v>
      </c>
      <c r="D27" s="16">
        <v>0</v>
      </c>
      <c r="E27" s="16">
        <v>1</v>
      </c>
      <c r="F27" s="16">
        <v>1500</v>
      </c>
      <c r="G27" s="17">
        <v>3</v>
      </c>
      <c r="H27" s="18">
        <v>500</v>
      </c>
      <c r="I27" s="19" cm="1">
        <f t="array" ref="I27">(G27*H27)-H27</f>
        <v>1000</v>
      </c>
      <c r="J27" s="19">
        <v>0</v>
      </c>
      <c r="K27" s="19" cm="1">
        <f t="array" ref="K27">I27+J27</f>
        <v>1000</v>
      </c>
      <c r="L27" s="20"/>
    </row>
    <row r="28" ht="13.55" customHeight="1">
      <c r="A28" s="2"/>
      <c r="B28" t="s" s="15">
        <v>19</v>
      </c>
      <c r="C28" t="s" s="15">
        <v>20</v>
      </c>
      <c r="D28" s="16">
        <v>0</v>
      </c>
      <c r="E28" s="16">
        <v>1</v>
      </c>
      <c r="F28" s="16">
        <v>1500</v>
      </c>
      <c r="G28" s="17">
        <v>4</v>
      </c>
      <c r="H28" s="18">
        <v>450</v>
      </c>
      <c r="I28" s="19" cm="1">
        <f t="array" ref="I28">(G28*H28)-H28</f>
        <v>1350</v>
      </c>
      <c r="J28" s="19">
        <v>0</v>
      </c>
      <c r="K28" s="19" cm="1">
        <f t="array" ref="K28">I28+J28</f>
        <v>1350</v>
      </c>
      <c r="L28" s="20"/>
    </row>
    <row r="29" ht="13.55" customHeight="1">
      <c r="A29" s="2"/>
      <c r="B29" t="s" s="15">
        <v>19</v>
      </c>
      <c r="C29" t="s" s="15">
        <v>20</v>
      </c>
      <c r="D29" s="16">
        <v>0</v>
      </c>
      <c r="E29" s="16">
        <v>1</v>
      </c>
      <c r="F29" s="16">
        <v>1500</v>
      </c>
      <c r="G29" s="17">
        <v>5</v>
      </c>
      <c r="H29" s="18">
        <v>400</v>
      </c>
      <c r="I29" s="19" cm="1">
        <f t="array" ref="I29">(G29*H29)-H29</f>
        <v>1600</v>
      </c>
      <c r="J29" s="19">
        <v>0</v>
      </c>
      <c r="K29" s="19" cm="1">
        <f t="array" ref="K29">I29+J29</f>
        <v>1600</v>
      </c>
      <c r="L29" s="20"/>
    </row>
    <row r="30" ht="13.55" customHeight="1">
      <c r="A30" s="2"/>
      <c r="B30" t="s" s="15">
        <v>19</v>
      </c>
      <c r="C30" t="s" s="15">
        <v>20</v>
      </c>
      <c r="D30" s="16">
        <v>0</v>
      </c>
      <c r="E30" s="16">
        <v>1</v>
      </c>
      <c r="F30" s="16">
        <v>1500</v>
      </c>
      <c r="G30" s="17">
        <v>6</v>
      </c>
      <c r="H30" s="18">
        <v>350</v>
      </c>
      <c r="I30" s="19" cm="1">
        <f t="array" ref="I30">(G30*H30)-H30</f>
        <v>1750</v>
      </c>
      <c r="J30" s="19">
        <v>0</v>
      </c>
      <c r="K30" s="19" cm="1">
        <f t="array" ref="K30">I30+J30</f>
        <v>1750</v>
      </c>
      <c r="L30" s="20"/>
    </row>
    <row r="31" ht="13.55" customHeight="1">
      <c r="A31" s="2"/>
      <c r="B31" t="s" s="15">
        <v>19</v>
      </c>
      <c r="C31" t="s" s="15">
        <v>20</v>
      </c>
      <c r="D31" s="16">
        <v>0</v>
      </c>
      <c r="E31" s="16">
        <v>1</v>
      </c>
      <c r="F31" s="16">
        <v>1500</v>
      </c>
      <c r="G31" s="17">
        <v>7</v>
      </c>
      <c r="H31" s="18">
        <v>300</v>
      </c>
      <c r="I31" s="19" cm="1">
        <f t="array" ref="I31">(G31*H31)-H31</f>
        <v>1800</v>
      </c>
      <c r="J31" s="19">
        <v>0</v>
      </c>
      <c r="K31" s="21" cm="1">
        <f t="array" ref="K31">I31+J31</f>
        <v>1800</v>
      </c>
      <c r="L31" s="20"/>
    </row>
    <row r="32" ht="13.55" customHeight="1">
      <c r="A32" s="2"/>
      <c r="B32" t="s" s="15">
        <v>19</v>
      </c>
      <c r="C32" t="s" s="15">
        <v>20</v>
      </c>
      <c r="D32" s="16">
        <v>0</v>
      </c>
      <c r="E32" s="16">
        <v>1</v>
      </c>
      <c r="F32" s="16">
        <v>1500</v>
      </c>
      <c r="G32" s="17">
        <v>8</v>
      </c>
      <c r="H32" s="18">
        <v>250</v>
      </c>
      <c r="I32" s="19" cm="1">
        <f t="array" ref="I32">(G32*H32)-H32</f>
        <v>1750</v>
      </c>
      <c r="J32" s="19">
        <v>0</v>
      </c>
      <c r="K32" s="19" cm="1">
        <f t="array" ref="K32">I32+J32</f>
        <v>1750</v>
      </c>
      <c r="L32" s="20"/>
    </row>
    <row r="33" ht="13.55" customHeight="1">
      <c r="A33" s="2"/>
      <c r="B33" t="s" s="15">
        <v>19</v>
      </c>
      <c r="C33" t="s" s="15">
        <v>20</v>
      </c>
      <c r="D33" s="16">
        <v>0</v>
      </c>
      <c r="E33" s="16">
        <v>1</v>
      </c>
      <c r="F33" s="16">
        <v>1500</v>
      </c>
      <c r="G33" s="17">
        <v>9</v>
      </c>
      <c r="H33" s="18">
        <v>200</v>
      </c>
      <c r="I33" s="19" cm="1">
        <f t="array" ref="I33">(G33*H33)-H33</f>
        <v>1600</v>
      </c>
      <c r="J33" s="19">
        <v>0</v>
      </c>
      <c r="K33" s="19" cm="1">
        <f t="array" ref="K33">I33+J33</f>
        <v>1600</v>
      </c>
      <c r="L33" s="20"/>
    </row>
    <row r="34" ht="13.55" customHeight="1">
      <c r="A34" s="2"/>
      <c r="B34" t="s" s="15">
        <v>19</v>
      </c>
      <c r="C34" t="s" s="15">
        <v>20</v>
      </c>
      <c r="D34" s="16">
        <v>0</v>
      </c>
      <c r="E34" s="16">
        <v>1</v>
      </c>
      <c r="F34" s="16">
        <v>1500</v>
      </c>
      <c r="G34" s="17">
        <v>10</v>
      </c>
      <c r="H34" s="18">
        <v>150</v>
      </c>
      <c r="I34" s="19" cm="1">
        <f t="array" ref="I34">(G34*H34)-H34</f>
        <v>1350</v>
      </c>
      <c r="J34" s="19">
        <v>-100</v>
      </c>
      <c r="K34" s="19" cm="1">
        <f t="array" ref="K34">I34+J34</f>
        <v>1250</v>
      </c>
      <c r="L34" s="20"/>
    </row>
    <row r="35" ht="13.55" customHeight="1">
      <c r="A35" s="2"/>
      <c r="B35" s="22"/>
      <c r="C35" s="22"/>
      <c r="D35" s="22"/>
      <c r="E35" s="22"/>
      <c r="F35" s="22"/>
      <c r="G35" s="23"/>
      <c r="H35" s="24"/>
      <c r="I35" s="20"/>
      <c r="J35" s="20"/>
      <c r="K35" s="20"/>
      <c r="L35" s="20"/>
    </row>
    <row r="36" ht="13.55" customHeight="1">
      <c r="A36" s="14">
        <v>4</v>
      </c>
      <c r="B36" t="s" s="15">
        <v>19</v>
      </c>
      <c r="C36" t="s" s="15">
        <v>20</v>
      </c>
      <c r="D36" t="s" s="15">
        <v>22</v>
      </c>
      <c r="E36" s="16">
        <v>0</v>
      </c>
      <c r="F36" s="16">
        <v>1500</v>
      </c>
      <c r="G36" s="17">
        <v>1</v>
      </c>
      <c r="H36" t="s" s="25">
        <v>23</v>
      </c>
      <c r="I36" s="20"/>
      <c r="J36" t="s" s="26">
        <v>24</v>
      </c>
      <c r="K36" s="20"/>
      <c r="L36" s="20"/>
    </row>
    <row r="37" ht="13.55" customHeight="1">
      <c r="A37" s="2"/>
      <c r="B37" t="s" s="15">
        <v>19</v>
      </c>
      <c r="C37" t="s" s="15">
        <v>20</v>
      </c>
      <c r="D37" t="s" s="15">
        <v>22</v>
      </c>
      <c r="E37" s="16">
        <v>0</v>
      </c>
      <c r="F37" s="16">
        <v>1500</v>
      </c>
      <c r="G37" s="17">
        <v>2</v>
      </c>
      <c r="H37" t="s" s="25">
        <v>25</v>
      </c>
      <c r="I37" s="20"/>
      <c r="J37" s="20"/>
      <c r="K37" s="20"/>
      <c r="L37" s="20"/>
    </row>
    <row r="38" ht="13.55" customHeight="1">
      <c r="A38" s="2"/>
      <c r="B38" t="s" s="15">
        <v>19</v>
      </c>
      <c r="C38" t="s" s="15">
        <v>20</v>
      </c>
      <c r="D38" t="s" s="15">
        <v>22</v>
      </c>
      <c r="E38" s="16">
        <v>0</v>
      </c>
      <c r="F38" s="16">
        <v>1500</v>
      </c>
      <c r="G38" s="17">
        <v>3</v>
      </c>
      <c r="H38" s="24"/>
      <c r="I38" s="20"/>
      <c r="J38" s="20"/>
      <c r="K38" s="20"/>
      <c r="L38" s="20"/>
    </row>
    <row r="39" ht="13.55" customHeight="1">
      <c r="A39" s="2"/>
      <c r="B39" t="s" s="15">
        <v>19</v>
      </c>
      <c r="C39" t="s" s="15">
        <v>20</v>
      </c>
      <c r="D39" t="s" s="15">
        <v>22</v>
      </c>
      <c r="E39" s="16">
        <v>0</v>
      </c>
      <c r="F39" s="16">
        <v>1500</v>
      </c>
      <c r="G39" s="17">
        <v>4</v>
      </c>
      <c r="H39" s="24"/>
      <c r="I39" s="20"/>
      <c r="J39" s="20"/>
      <c r="K39" s="20"/>
      <c r="L39" t="s" s="26">
        <v>26</v>
      </c>
    </row>
    <row r="40" ht="13.55" customHeight="1">
      <c r="A40" s="2"/>
      <c r="B40" t="s" s="15">
        <v>19</v>
      </c>
      <c r="C40" t="s" s="15">
        <v>20</v>
      </c>
      <c r="D40" t="s" s="15">
        <v>22</v>
      </c>
      <c r="E40" s="16">
        <v>0</v>
      </c>
      <c r="F40" s="16">
        <v>1500</v>
      </c>
      <c r="G40" s="17">
        <v>5</v>
      </c>
      <c r="H40" s="24"/>
      <c r="I40" s="20"/>
      <c r="J40" s="20"/>
      <c r="K40" s="20"/>
      <c r="L40" t="s" s="26">
        <v>27</v>
      </c>
    </row>
    <row r="41" ht="13.55" customHeight="1">
      <c r="A41" s="2"/>
      <c r="B41" t="s" s="15">
        <v>19</v>
      </c>
      <c r="C41" t="s" s="15">
        <v>20</v>
      </c>
      <c r="D41" t="s" s="15">
        <v>22</v>
      </c>
      <c r="E41" s="16">
        <v>0</v>
      </c>
      <c r="F41" s="16">
        <v>1500</v>
      </c>
      <c r="G41" s="17">
        <v>6</v>
      </c>
      <c r="H41" s="24"/>
      <c r="I41" s="20"/>
      <c r="J41" s="20"/>
      <c r="K41" s="20"/>
      <c r="L41" t="s" s="26">
        <v>28</v>
      </c>
    </row>
    <row r="42" ht="13.55" customHeight="1">
      <c r="A42" s="2"/>
      <c r="B42" t="s" s="15">
        <v>19</v>
      </c>
      <c r="C42" t="s" s="15">
        <v>20</v>
      </c>
      <c r="D42" t="s" s="15">
        <v>22</v>
      </c>
      <c r="E42" s="16">
        <v>0</v>
      </c>
      <c r="F42" s="16">
        <v>1500</v>
      </c>
      <c r="G42" s="17">
        <v>7</v>
      </c>
      <c r="H42" s="24"/>
      <c r="I42" s="20"/>
      <c r="J42" s="20"/>
      <c r="K42" s="20"/>
      <c r="L42" s="20"/>
    </row>
    <row r="43" ht="13.55" customHeight="1">
      <c r="A43" s="2"/>
      <c r="B43" t="s" s="15">
        <v>19</v>
      </c>
      <c r="C43" t="s" s="15">
        <v>20</v>
      </c>
      <c r="D43" t="s" s="15">
        <v>22</v>
      </c>
      <c r="E43" s="16">
        <v>0</v>
      </c>
      <c r="F43" s="16">
        <v>1500</v>
      </c>
      <c r="G43" s="17">
        <v>8</v>
      </c>
      <c r="H43" s="24"/>
      <c r="I43" s="20"/>
      <c r="J43" s="20"/>
      <c r="K43" s="20"/>
      <c r="L43" s="20"/>
    </row>
    <row r="44" ht="13.55" customHeight="1">
      <c r="A44" s="2"/>
      <c r="B44" t="s" s="15">
        <v>19</v>
      </c>
      <c r="C44" t="s" s="15">
        <v>20</v>
      </c>
      <c r="D44" t="s" s="15">
        <v>22</v>
      </c>
      <c r="E44" s="16">
        <v>0</v>
      </c>
      <c r="F44" s="16">
        <v>1500</v>
      </c>
      <c r="G44" s="17">
        <v>9</v>
      </c>
      <c r="H44" s="24"/>
      <c r="I44" s="20"/>
      <c r="J44" s="20"/>
      <c r="K44" s="20"/>
      <c r="L44" s="20"/>
    </row>
    <row r="45" ht="13.55" customHeight="1">
      <c r="A45" s="2"/>
      <c r="B45" t="s" s="15">
        <v>19</v>
      </c>
      <c r="C45" t="s" s="15">
        <v>20</v>
      </c>
      <c r="D45" t="s" s="15">
        <v>22</v>
      </c>
      <c r="E45" s="16">
        <v>0</v>
      </c>
      <c r="F45" s="16">
        <v>1500</v>
      </c>
      <c r="G45" s="17">
        <v>10</v>
      </c>
      <c r="H45" s="24"/>
      <c r="I45" s="20"/>
      <c r="J45" s="20"/>
      <c r="K45" s="20"/>
      <c r="L45" s="20"/>
    </row>
    <row r="46" ht="13.55" customHeight="1">
      <c r="A46" s="2"/>
      <c r="B46" s="22"/>
      <c r="C46" s="22"/>
      <c r="D46" s="22"/>
      <c r="E46" s="22"/>
      <c r="F46" s="22"/>
      <c r="G46" s="23"/>
      <c r="H46" s="24"/>
      <c r="I46" s="20"/>
      <c r="J46" s="20"/>
      <c r="K46" s="20"/>
      <c r="L46" s="20"/>
    </row>
    <row r="47" ht="13.55" customHeight="1">
      <c r="A47" s="14">
        <v>5</v>
      </c>
      <c r="B47" t="s" s="15">
        <v>19</v>
      </c>
      <c r="C47" t="s" s="15">
        <v>20</v>
      </c>
      <c r="D47" t="s" s="15">
        <v>22</v>
      </c>
      <c r="E47" s="16">
        <v>1</v>
      </c>
      <c r="F47" s="16">
        <v>1500</v>
      </c>
      <c r="G47" s="17">
        <v>1</v>
      </c>
      <c r="H47" t="s" s="25">
        <v>29</v>
      </c>
      <c r="I47" s="20"/>
      <c r="J47" t="s" s="26">
        <v>30</v>
      </c>
      <c r="K47" s="20"/>
      <c r="L47" s="20"/>
    </row>
    <row r="48" ht="13.55" customHeight="1">
      <c r="A48" s="2"/>
      <c r="B48" t="s" s="15">
        <v>19</v>
      </c>
      <c r="C48" t="s" s="15">
        <v>20</v>
      </c>
      <c r="D48" t="s" s="15">
        <v>22</v>
      </c>
      <c r="E48" s="16">
        <v>1</v>
      </c>
      <c r="F48" s="16">
        <v>1500</v>
      </c>
      <c r="G48" s="17">
        <v>2</v>
      </c>
      <c r="H48" t="s" s="25">
        <v>31</v>
      </c>
      <c r="I48" s="20"/>
      <c r="J48" s="20"/>
      <c r="K48" s="20"/>
      <c r="L48" s="20"/>
    </row>
    <row r="49" ht="13.55" customHeight="1">
      <c r="A49" s="2"/>
      <c r="B49" t="s" s="15">
        <v>19</v>
      </c>
      <c r="C49" t="s" s="15">
        <v>20</v>
      </c>
      <c r="D49" t="s" s="15">
        <v>22</v>
      </c>
      <c r="E49" s="16">
        <v>1</v>
      </c>
      <c r="F49" s="16">
        <v>1500</v>
      </c>
      <c r="G49" s="17">
        <v>3</v>
      </c>
      <c r="H49" s="24"/>
      <c r="I49" s="20"/>
      <c r="J49" s="20"/>
      <c r="K49" s="20"/>
      <c r="L49" s="20"/>
    </row>
    <row r="50" ht="13.55" customHeight="1">
      <c r="A50" s="2"/>
      <c r="B50" t="s" s="15">
        <v>19</v>
      </c>
      <c r="C50" t="s" s="15">
        <v>20</v>
      </c>
      <c r="D50" t="s" s="15">
        <v>22</v>
      </c>
      <c r="E50" s="16">
        <v>1</v>
      </c>
      <c r="F50" s="16">
        <v>1500</v>
      </c>
      <c r="G50" s="17">
        <v>4</v>
      </c>
      <c r="H50" s="24"/>
      <c r="I50" s="20"/>
      <c r="J50" s="20"/>
      <c r="K50" s="20"/>
      <c r="L50" s="20"/>
    </row>
    <row r="51" ht="13.55" customHeight="1">
      <c r="A51" s="2"/>
      <c r="B51" t="s" s="15">
        <v>19</v>
      </c>
      <c r="C51" t="s" s="15">
        <v>20</v>
      </c>
      <c r="D51" t="s" s="15">
        <v>22</v>
      </c>
      <c r="E51" s="16">
        <v>1</v>
      </c>
      <c r="F51" s="16">
        <v>1500</v>
      </c>
      <c r="G51" s="17">
        <v>5</v>
      </c>
      <c r="H51" s="24"/>
      <c r="I51" s="20"/>
      <c r="J51" s="20"/>
      <c r="K51" s="20"/>
      <c r="L51" s="20"/>
    </row>
    <row r="52" ht="13.55" customHeight="1">
      <c r="A52" s="2"/>
      <c r="B52" t="s" s="15">
        <v>19</v>
      </c>
      <c r="C52" t="s" s="15">
        <v>20</v>
      </c>
      <c r="D52" t="s" s="15">
        <v>22</v>
      </c>
      <c r="E52" s="16">
        <v>1</v>
      </c>
      <c r="F52" s="16">
        <v>1500</v>
      </c>
      <c r="G52" s="17">
        <v>6</v>
      </c>
      <c r="H52" s="24"/>
      <c r="I52" s="20"/>
      <c r="J52" s="20"/>
      <c r="K52" s="20"/>
      <c r="L52" s="20"/>
    </row>
    <row r="53" ht="13.55" customHeight="1">
      <c r="A53" s="2"/>
      <c r="B53" t="s" s="15">
        <v>19</v>
      </c>
      <c r="C53" t="s" s="15">
        <v>20</v>
      </c>
      <c r="D53" t="s" s="15">
        <v>22</v>
      </c>
      <c r="E53" s="16">
        <v>1</v>
      </c>
      <c r="F53" s="16">
        <v>1500</v>
      </c>
      <c r="G53" s="17">
        <v>7</v>
      </c>
      <c r="H53" s="24"/>
      <c r="I53" s="20"/>
      <c r="J53" s="20"/>
      <c r="K53" s="20"/>
      <c r="L53" s="20"/>
    </row>
    <row r="54" ht="13.55" customHeight="1">
      <c r="A54" s="2"/>
      <c r="B54" t="s" s="15">
        <v>19</v>
      </c>
      <c r="C54" t="s" s="15">
        <v>20</v>
      </c>
      <c r="D54" t="s" s="15">
        <v>22</v>
      </c>
      <c r="E54" s="16">
        <v>1</v>
      </c>
      <c r="F54" s="16">
        <v>1500</v>
      </c>
      <c r="G54" s="17">
        <v>8</v>
      </c>
      <c r="H54" s="24"/>
      <c r="I54" s="20"/>
      <c r="J54" s="20"/>
      <c r="K54" s="20"/>
      <c r="L54" s="20"/>
    </row>
    <row r="55" ht="13.55" customHeight="1">
      <c r="A55" s="2"/>
      <c r="B55" t="s" s="15">
        <v>19</v>
      </c>
      <c r="C55" t="s" s="15">
        <v>20</v>
      </c>
      <c r="D55" t="s" s="15">
        <v>22</v>
      </c>
      <c r="E55" s="16">
        <v>1</v>
      </c>
      <c r="F55" s="16">
        <v>1500</v>
      </c>
      <c r="G55" s="17">
        <v>9</v>
      </c>
      <c r="H55" s="24"/>
      <c r="I55" s="20"/>
      <c r="J55" s="20"/>
      <c r="K55" s="20"/>
      <c r="L55" s="20"/>
    </row>
    <row r="56" ht="13.55" customHeight="1">
      <c r="A56" s="2"/>
      <c r="B56" t="s" s="15">
        <v>19</v>
      </c>
      <c r="C56" t="s" s="15">
        <v>20</v>
      </c>
      <c r="D56" t="s" s="15">
        <v>22</v>
      </c>
      <c r="E56" s="16">
        <v>1</v>
      </c>
      <c r="F56" s="16">
        <v>1500</v>
      </c>
      <c r="G56" s="17">
        <v>10</v>
      </c>
      <c r="H56" s="24"/>
      <c r="I56" s="20"/>
      <c r="J56" s="20"/>
      <c r="K56" s="20"/>
      <c r="L56" s="20"/>
    </row>
    <row r="57" ht="13.55" customHeight="1">
      <c r="A57" s="2"/>
      <c r="B57" s="22"/>
      <c r="C57" s="22"/>
      <c r="D57" s="22"/>
      <c r="E57" s="22"/>
      <c r="F57" s="22"/>
      <c r="G57" s="23"/>
      <c r="H57" s="24"/>
      <c r="I57" s="20"/>
      <c r="J57" s="20"/>
      <c r="K57" s="20"/>
      <c r="L57" s="20"/>
    </row>
    <row r="58" ht="13.55" customHeight="1">
      <c r="A58" s="14">
        <v>6</v>
      </c>
      <c r="B58" t="s" s="15">
        <v>32</v>
      </c>
      <c r="C58" t="s" s="15">
        <v>20</v>
      </c>
      <c r="D58" t="s" s="15">
        <v>22</v>
      </c>
      <c r="E58" s="16">
        <v>1</v>
      </c>
      <c r="F58" s="22"/>
      <c r="G58" s="17">
        <v>1</v>
      </c>
      <c r="H58" t="s" s="25">
        <v>33</v>
      </c>
      <c r="I58" s="20"/>
      <c r="J58" t="s" s="26">
        <v>30</v>
      </c>
      <c r="K58" s="20"/>
      <c r="L58" s="20"/>
    </row>
    <row r="59" ht="13.55" customHeight="1">
      <c r="A59" s="2"/>
      <c r="B59" t="s" s="15">
        <v>32</v>
      </c>
      <c r="C59" t="s" s="15">
        <v>20</v>
      </c>
      <c r="D59" t="s" s="15">
        <v>22</v>
      </c>
      <c r="E59" s="16">
        <v>1</v>
      </c>
      <c r="F59" s="22"/>
      <c r="G59" s="17">
        <v>2</v>
      </c>
      <c r="H59" t="s" s="25">
        <v>34</v>
      </c>
      <c r="I59" s="20"/>
      <c r="J59" s="20"/>
      <c r="K59" s="20"/>
      <c r="L59" s="20"/>
    </row>
    <row r="60" ht="13.55" customHeight="1">
      <c r="A60" s="2"/>
      <c r="B60" t="s" s="15">
        <v>32</v>
      </c>
      <c r="C60" t="s" s="15">
        <v>20</v>
      </c>
      <c r="D60" t="s" s="15">
        <v>22</v>
      </c>
      <c r="E60" s="16">
        <v>1</v>
      </c>
      <c r="F60" s="22"/>
      <c r="G60" s="17">
        <v>3</v>
      </c>
      <c r="H60" s="24"/>
      <c r="I60" s="20"/>
      <c r="J60" s="20"/>
      <c r="K60" s="20"/>
      <c r="L60" s="20"/>
    </row>
    <row r="61" ht="13.55" customHeight="1">
      <c r="A61" s="2"/>
      <c r="B61" t="s" s="15">
        <v>32</v>
      </c>
      <c r="C61" t="s" s="15">
        <v>20</v>
      </c>
      <c r="D61" t="s" s="15">
        <v>22</v>
      </c>
      <c r="E61" s="16">
        <v>1</v>
      </c>
      <c r="F61" s="22"/>
      <c r="G61" s="17">
        <v>4</v>
      </c>
      <c r="H61" s="24"/>
      <c r="I61" s="20"/>
      <c r="J61" s="20"/>
      <c r="K61" s="20"/>
      <c r="L61" s="20"/>
    </row>
    <row r="62" ht="13.55" customHeight="1">
      <c r="A62" s="2"/>
      <c r="B62" t="s" s="15">
        <v>32</v>
      </c>
      <c r="C62" t="s" s="15">
        <v>20</v>
      </c>
      <c r="D62" t="s" s="15">
        <v>22</v>
      </c>
      <c r="E62" s="16">
        <v>1</v>
      </c>
      <c r="F62" s="22"/>
      <c r="G62" s="17">
        <v>5</v>
      </c>
      <c r="H62" s="24"/>
      <c r="I62" s="20"/>
      <c r="J62" s="20"/>
      <c r="K62" s="20"/>
      <c r="L62" s="20"/>
    </row>
    <row r="63" ht="13.55" customHeight="1">
      <c r="A63" s="2"/>
      <c r="B63" t="s" s="15">
        <v>32</v>
      </c>
      <c r="C63" t="s" s="15">
        <v>20</v>
      </c>
      <c r="D63" t="s" s="15">
        <v>22</v>
      </c>
      <c r="E63" s="16">
        <v>1</v>
      </c>
      <c r="F63" s="22"/>
      <c r="G63" s="17">
        <v>6</v>
      </c>
      <c r="H63" s="24"/>
      <c r="I63" s="20"/>
      <c r="J63" s="20"/>
      <c r="K63" s="20"/>
      <c r="L63" s="20"/>
    </row>
    <row r="64" ht="13.55" customHeight="1">
      <c r="A64" s="2"/>
      <c r="B64" t="s" s="15">
        <v>32</v>
      </c>
      <c r="C64" t="s" s="15">
        <v>20</v>
      </c>
      <c r="D64" t="s" s="15">
        <v>22</v>
      </c>
      <c r="E64" s="16">
        <v>1</v>
      </c>
      <c r="F64" s="22"/>
      <c r="G64" s="17">
        <v>7</v>
      </c>
      <c r="H64" s="24"/>
      <c r="I64" s="20"/>
      <c r="J64" s="20"/>
      <c r="K64" s="20"/>
      <c r="L64" s="20"/>
    </row>
    <row r="65" ht="13.55" customHeight="1">
      <c r="A65" s="2"/>
      <c r="B65" t="s" s="15">
        <v>32</v>
      </c>
      <c r="C65" t="s" s="15">
        <v>20</v>
      </c>
      <c r="D65" t="s" s="15">
        <v>22</v>
      </c>
      <c r="E65" s="16">
        <v>1</v>
      </c>
      <c r="F65" s="22"/>
      <c r="G65" s="17">
        <v>8</v>
      </c>
      <c r="H65" s="24"/>
      <c r="I65" s="20"/>
      <c r="J65" s="20"/>
      <c r="K65" s="20"/>
      <c r="L65" s="20"/>
    </row>
    <row r="66" ht="13.55" customHeight="1">
      <c r="A66" s="2"/>
      <c r="B66" t="s" s="15">
        <v>32</v>
      </c>
      <c r="C66" t="s" s="15">
        <v>20</v>
      </c>
      <c r="D66" t="s" s="15">
        <v>22</v>
      </c>
      <c r="E66" s="16">
        <v>1</v>
      </c>
      <c r="F66" s="22"/>
      <c r="G66" s="17">
        <v>9</v>
      </c>
      <c r="H66" s="24"/>
      <c r="I66" s="20"/>
      <c r="J66" s="20"/>
      <c r="K66" s="20"/>
      <c r="L66" s="20"/>
    </row>
    <row r="67" ht="13.55" customHeight="1">
      <c r="A67" s="2"/>
      <c r="B67" t="s" s="15">
        <v>32</v>
      </c>
      <c r="C67" t="s" s="15">
        <v>20</v>
      </c>
      <c r="D67" t="s" s="15">
        <v>22</v>
      </c>
      <c r="E67" s="16">
        <v>1</v>
      </c>
      <c r="F67" s="22"/>
      <c r="G67" s="17">
        <v>10</v>
      </c>
      <c r="H67" s="24"/>
      <c r="I67" s="20"/>
      <c r="J67" s="20"/>
      <c r="K67" s="20"/>
      <c r="L67" s="20"/>
    </row>
    <row r="68" ht="13.55" customHeight="1">
      <c r="A68" s="2"/>
      <c r="B68" s="22"/>
      <c r="C68" s="22"/>
      <c r="D68" s="22"/>
      <c r="E68" s="22"/>
      <c r="F68" s="22"/>
      <c r="G68" s="23"/>
      <c r="H68" s="24"/>
      <c r="I68" s="20"/>
      <c r="J68" s="20"/>
      <c r="K68" s="20"/>
      <c r="L68" s="20"/>
    </row>
    <row r="69" ht="13.55" customHeight="1">
      <c r="A69" s="14">
        <v>7</v>
      </c>
      <c r="B69" t="s" s="15">
        <v>32</v>
      </c>
      <c r="C69" t="s" s="15">
        <v>21</v>
      </c>
      <c r="D69" s="16">
        <v>0</v>
      </c>
      <c r="E69" s="16">
        <v>1</v>
      </c>
      <c r="F69" s="22"/>
      <c r="G69" s="17">
        <v>1</v>
      </c>
      <c r="H69" s="18">
        <v>500</v>
      </c>
      <c r="I69" s="19" cm="1">
        <f t="array" ref="I69">(G69*H69)-H69</f>
        <v>0</v>
      </c>
      <c r="J69" s="19">
        <v>0</v>
      </c>
      <c r="K69" s="19" cm="1">
        <f t="array" ref="K69">I69+J69</f>
        <v>0</v>
      </c>
      <c r="L69" s="20"/>
    </row>
    <row r="70" ht="13.55" customHeight="1">
      <c r="A70" s="2"/>
      <c r="B70" t="s" s="15">
        <v>32</v>
      </c>
      <c r="C70" t="s" s="15">
        <v>21</v>
      </c>
      <c r="D70" s="16">
        <v>0</v>
      </c>
      <c r="E70" s="16">
        <v>1</v>
      </c>
      <c r="F70" s="22"/>
      <c r="G70" s="17">
        <v>2</v>
      </c>
      <c r="H70" s="18">
        <v>450</v>
      </c>
      <c r="I70" s="19" cm="1">
        <f t="array" ref="I70">(G70*H70)-H70</f>
        <v>450</v>
      </c>
      <c r="J70" s="19">
        <v>0</v>
      </c>
      <c r="K70" s="19" cm="1">
        <f t="array" ref="K70">I70+J70</f>
        <v>450</v>
      </c>
      <c r="L70" s="20"/>
    </row>
    <row r="71" ht="13.55" customHeight="1">
      <c r="A71" s="2"/>
      <c r="B71" t="s" s="15">
        <v>32</v>
      </c>
      <c r="C71" t="s" s="15">
        <v>21</v>
      </c>
      <c r="D71" s="16">
        <v>0</v>
      </c>
      <c r="E71" s="16">
        <v>1</v>
      </c>
      <c r="F71" s="22"/>
      <c r="G71" s="17">
        <v>3</v>
      </c>
      <c r="H71" s="18">
        <v>400</v>
      </c>
      <c r="I71" s="19" cm="1">
        <f t="array" ref="I71">(G71*H71)-H71</f>
        <v>800</v>
      </c>
      <c r="J71" s="19">
        <v>0</v>
      </c>
      <c r="K71" s="19" cm="1">
        <f t="array" ref="K71">I71+J71</f>
        <v>800</v>
      </c>
      <c r="L71" s="20"/>
    </row>
    <row r="72" ht="13.55" customHeight="1">
      <c r="A72" s="2"/>
      <c r="B72" t="s" s="15">
        <v>32</v>
      </c>
      <c r="C72" t="s" s="15">
        <v>21</v>
      </c>
      <c r="D72" s="16">
        <v>0</v>
      </c>
      <c r="E72" s="16">
        <v>1</v>
      </c>
      <c r="F72" s="22"/>
      <c r="G72" s="17">
        <v>4</v>
      </c>
      <c r="H72" s="18">
        <v>350</v>
      </c>
      <c r="I72" s="19" cm="1">
        <f t="array" ref="I72">(G72*H72)-H72</f>
        <v>1050</v>
      </c>
      <c r="J72" s="19">
        <v>0</v>
      </c>
      <c r="K72" s="19" cm="1">
        <f t="array" ref="K72">I72+J72</f>
        <v>1050</v>
      </c>
      <c r="L72" s="20"/>
    </row>
    <row r="73" ht="13.55" customHeight="1">
      <c r="A73" s="2"/>
      <c r="B73" t="s" s="15">
        <v>32</v>
      </c>
      <c r="C73" t="s" s="15">
        <v>21</v>
      </c>
      <c r="D73" s="16">
        <v>0</v>
      </c>
      <c r="E73" s="16">
        <v>1</v>
      </c>
      <c r="F73" s="22"/>
      <c r="G73" s="17">
        <v>5</v>
      </c>
      <c r="H73" s="18">
        <v>300</v>
      </c>
      <c r="I73" s="19" cm="1">
        <f t="array" ref="I73">(G73*H73)-H73</f>
        <v>1200</v>
      </c>
      <c r="J73" s="19">
        <v>0</v>
      </c>
      <c r="K73" s="19" cm="1">
        <f t="array" ref="K73">I73+J73</f>
        <v>1200</v>
      </c>
      <c r="L73" s="20"/>
    </row>
    <row r="74" ht="13.55" customHeight="1">
      <c r="A74" s="2"/>
      <c r="B74" t="s" s="15">
        <v>32</v>
      </c>
      <c r="C74" t="s" s="15">
        <v>21</v>
      </c>
      <c r="D74" s="16">
        <v>0</v>
      </c>
      <c r="E74" s="16">
        <v>1</v>
      </c>
      <c r="F74" s="22"/>
      <c r="G74" s="17">
        <v>6</v>
      </c>
      <c r="H74" s="18">
        <v>250</v>
      </c>
      <c r="I74" s="19" cm="1">
        <f t="array" ref="I74">(G74*H74)-H74</f>
        <v>1250</v>
      </c>
      <c r="J74" s="19">
        <v>0</v>
      </c>
      <c r="K74" s="21" cm="1">
        <f t="array" ref="K74">I74+J74</f>
        <v>1250</v>
      </c>
      <c r="L74" s="20"/>
    </row>
    <row r="75" ht="13.55" customHeight="1">
      <c r="A75" s="2"/>
      <c r="B75" t="s" s="15">
        <v>32</v>
      </c>
      <c r="C75" t="s" s="15">
        <v>21</v>
      </c>
      <c r="D75" s="16">
        <v>0</v>
      </c>
      <c r="E75" s="16">
        <v>1</v>
      </c>
      <c r="F75" s="22"/>
      <c r="G75" s="17">
        <v>7</v>
      </c>
      <c r="H75" s="18">
        <v>200</v>
      </c>
      <c r="I75" s="19" cm="1">
        <f t="array" ref="I75">(G75*H75)-H75</f>
        <v>1200</v>
      </c>
      <c r="J75" s="19">
        <v>0</v>
      </c>
      <c r="K75" s="19" cm="1">
        <f t="array" ref="K75">I75+J75</f>
        <v>1200</v>
      </c>
      <c r="L75" s="20"/>
    </row>
    <row r="76" ht="13.55" customHeight="1">
      <c r="A76" s="2"/>
      <c r="B76" t="s" s="15">
        <v>32</v>
      </c>
      <c r="C76" t="s" s="15">
        <v>21</v>
      </c>
      <c r="D76" s="16">
        <v>0</v>
      </c>
      <c r="E76" s="16">
        <v>1</v>
      </c>
      <c r="F76" s="22"/>
      <c r="G76" s="17">
        <v>8</v>
      </c>
      <c r="H76" s="18">
        <v>150</v>
      </c>
      <c r="I76" s="19" cm="1">
        <f t="array" ref="I76">(G76*H76)-H76</f>
        <v>1050</v>
      </c>
      <c r="J76" s="19">
        <v>-100</v>
      </c>
      <c r="K76" s="19" cm="1">
        <f t="array" ref="K76">I76+J76</f>
        <v>950</v>
      </c>
      <c r="L76" s="20"/>
    </row>
    <row r="77" ht="13.55" customHeight="1">
      <c r="A77" s="2"/>
      <c r="B77" t="s" s="15">
        <v>32</v>
      </c>
      <c r="C77" t="s" s="15">
        <v>21</v>
      </c>
      <c r="D77" s="16">
        <v>0</v>
      </c>
      <c r="E77" s="16">
        <v>1</v>
      </c>
      <c r="F77" s="22"/>
      <c r="G77" s="17">
        <v>9</v>
      </c>
      <c r="H77" s="18">
        <v>100</v>
      </c>
      <c r="I77" s="19" cm="1">
        <f t="array" ref="I77">(G77*H77)-H77</f>
        <v>800</v>
      </c>
      <c r="J77" s="19">
        <v>-100</v>
      </c>
      <c r="K77" s="19" cm="1">
        <f t="array" ref="K77">I77+J77</f>
        <v>700</v>
      </c>
      <c r="L77" s="20"/>
    </row>
    <row r="78" ht="13.55" customHeight="1">
      <c r="A78" s="2"/>
      <c r="B78" t="s" s="15">
        <v>32</v>
      </c>
      <c r="C78" t="s" s="15">
        <v>21</v>
      </c>
      <c r="D78" s="16">
        <v>0</v>
      </c>
      <c r="E78" s="16">
        <v>1</v>
      </c>
      <c r="F78" s="22"/>
      <c r="G78" s="17">
        <v>10</v>
      </c>
      <c r="H78" s="18">
        <v>50</v>
      </c>
      <c r="I78" s="19" cm="1">
        <f t="array" ref="I78">(G78*H78)-H78</f>
        <v>450</v>
      </c>
      <c r="J78" s="19">
        <v>-100</v>
      </c>
      <c r="K78" s="19" cm="1">
        <f t="array" ref="K78">I78+J78</f>
        <v>350</v>
      </c>
      <c r="L78" s="20"/>
    </row>
    <row r="79" ht="13.55" customHeight="1">
      <c r="A79" s="2"/>
      <c r="B79" s="22"/>
      <c r="C79" s="22"/>
      <c r="D79" s="22"/>
      <c r="E79" s="22"/>
      <c r="F79" s="22"/>
      <c r="G79" s="23"/>
      <c r="H79" s="24"/>
      <c r="I79" s="20"/>
      <c r="J79" s="20"/>
      <c r="K79" s="20"/>
      <c r="L79" s="20"/>
    </row>
    <row r="80" ht="13.55" customHeight="1">
      <c r="A80" s="2"/>
      <c r="B80" s="22"/>
      <c r="C80" s="22"/>
      <c r="D80" s="22"/>
      <c r="E80" s="22"/>
      <c r="F80" s="22"/>
      <c r="G80" s="23"/>
      <c r="H80" s="24"/>
      <c r="I80" s="20"/>
      <c r="J80" s="20"/>
      <c r="K80" s="20"/>
      <c r="L80" s="20"/>
    </row>
  </sheetData>
  <mergeCells count="7">
    <mergeCell ref="A3:A12"/>
    <mergeCell ref="A14:A23"/>
    <mergeCell ref="A25:A34"/>
    <mergeCell ref="A36:A45"/>
    <mergeCell ref="A47:A56"/>
    <mergeCell ref="A58:A67"/>
    <mergeCell ref="A69:A7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